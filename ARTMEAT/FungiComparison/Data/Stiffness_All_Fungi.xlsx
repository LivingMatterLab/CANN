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sp/Desktop/SURI25/All_Fungi/"/>
    </mc:Choice>
  </mc:AlternateContent>
  <xr:revisionPtr revIDLastSave="0" documentId="13_ncr:1_{1A8EA626-25D1-6B41-A4A8-34FF60D4A329}" xr6:coauthVersionLast="47" xr6:coauthVersionMax="47" xr10:uidLastSave="{00000000-0000-0000-0000-000000000000}"/>
  <bookViews>
    <workbookView xWindow="-26760" yWindow="2380" windowWidth="23940" windowHeight="17440" xr2:uid="{AD7A531F-F5EC-7E44-9C9E-EBDBBD664A7E}"/>
  </bookViews>
  <sheets>
    <sheet name="stiffnes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4" l="1"/>
  <c r="M6" i="4"/>
  <c r="C6" i="4"/>
  <c r="G6" i="4"/>
  <c r="I6" i="4"/>
  <c r="K6" i="4"/>
  <c r="H6" i="4"/>
  <c r="F6" i="4"/>
  <c r="D6" i="4"/>
  <c r="B6" i="4"/>
  <c r="L6" i="4"/>
  <c r="J6" i="4"/>
</calcChain>
</file>

<file path=xl/sharedStrings.xml><?xml version="1.0" encoding="utf-8"?>
<sst xmlns="http://schemas.openxmlformats.org/spreadsheetml/2006/main" count="24" uniqueCount="16">
  <si>
    <t>OMNI</t>
  </si>
  <si>
    <t>MEATI</t>
  </si>
  <si>
    <t>BEYOND</t>
  </si>
  <si>
    <t>Mean</t>
  </si>
  <si>
    <t>10% all</t>
  </si>
  <si>
    <t>CP Mean</t>
  </si>
  <si>
    <t>CP STD</t>
  </si>
  <si>
    <t>IP Mean</t>
  </si>
  <si>
    <t>IP STD</t>
  </si>
  <si>
    <t>Stiffness</t>
  </si>
  <si>
    <t>Ten</t>
  </si>
  <si>
    <t>Com</t>
  </si>
  <si>
    <t>Shr</t>
  </si>
  <si>
    <r>
      <t xml:space="preserve">report linear fit stiffness for T, C, S up to </t>
    </r>
    <r>
      <rPr>
        <b/>
        <sz val="12"/>
        <color theme="1"/>
        <rFont val="Aptos Narrow"/>
        <scheme val="minor"/>
      </rPr>
      <t>10%</t>
    </r>
    <r>
      <rPr>
        <sz val="12"/>
        <color theme="1"/>
        <rFont val="Aptos Narrow"/>
        <scheme val="minor"/>
      </rPr>
      <t xml:space="preserve"> stretch/strain all modes (not 20% com)</t>
    </r>
  </si>
  <si>
    <r>
      <t xml:space="preserve">mean +/- </t>
    </r>
    <r>
      <rPr>
        <b/>
        <sz val="12"/>
        <color theme="1"/>
        <rFont val="Aptos Narrow"/>
        <scheme val="minor"/>
      </rPr>
      <t>std</t>
    </r>
  </si>
  <si>
    <t>for regression: intercept=0 enforced for consistency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</si>
</sst>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5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name val="Aptos Narrow"/>
      <family val="2"/>
      <scheme val="minor"/>
    </font>
    <font>
      <b/>
      <sz val="12"/>
      <name val="Aptos Narrow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3" xfId="0" applyFont="1" applyBorder="1"/>
    <xf numFmtId="0" fontId="1" fillId="0" borderId="5" xfId="0" applyFont="1" applyBorder="1"/>
    <xf numFmtId="0" fontId="1" fillId="0" borderId="2" xfId="0" applyFont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5" fontId="0" fillId="0" borderId="1" xfId="0" applyNumberFormat="1" applyBorder="1"/>
    <xf numFmtId="0" fontId="1" fillId="0" borderId="4" xfId="0" applyFont="1" applyBorder="1"/>
    <xf numFmtId="0" fontId="1" fillId="0" borderId="6" xfId="0" applyFont="1" applyBorder="1"/>
    <xf numFmtId="165" fontId="1" fillId="0" borderId="4" xfId="0" applyNumberFormat="1" applyFont="1" applyBorder="1"/>
    <xf numFmtId="165" fontId="1" fillId="0" borderId="0" xfId="0" applyNumberFormat="1" applyFont="1"/>
    <xf numFmtId="0" fontId="3" fillId="0" borderId="0" xfId="0" applyFont="1"/>
    <xf numFmtId="0" fontId="3" fillId="0" borderId="1" xfId="0" applyFont="1" applyBorder="1"/>
    <xf numFmtId="0" fontId="4" fillId="0" borderId="4" xfId="0" applyFont="1" applyBorder="1"/>
    <xf numFmtId="0" fontId="4" fillId="0" borderId="0" xfId="0" applyFont="1"/>
    <xf numFmtId="0" fontId="1" fillId="0" borderId="8" xfId="0" applyFont="1" applyBorder="1"/>
    <xf numFmtId="165" fontId="0" fillId="0" borderId="8" xfId="0" applyNumberForma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/>
    <xf numFmtId="165" fontId="0" fillId="0" borderId="7" xfId="0" applyNumberFormat="1" applyBorder="1"/>
    <xf numFmtId="165" fontId="1" fillId="0" borderId="9" xfId="0" applyNumberFormat="1" applyFont="1" applyBorder="1"/>
    <xf numFmtId="165" fontId="1" fillId="0" borderId="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58AEC-E630-8C46-826A-2B259C2CC76A}">
  <dimension ref="A1:O15"/>
  <sheetViews>
    <sheetView tabSelected="1" workbookViewId="0">
      <selection activeCell="I11" sqref="I11"/>
    </sheetView>
  </sheetViews>
  <sheetFormatPr baseColWidth="10" defaultRowHeight="16"/>
  <sheetData>
    <row r="1" spans="1:15">
      <c r="A1" s="1" t="s">
        <v>9</v>
      </c>
      <c r="B1" s="19" t="s">
        <v>0</v>
      </c>
      <c r="C1" s="20"/>
      <c r="D1" s="20"/>
      <c r="E1" s="21"/>
      <c r="F1" s="19" t="s">
        <v>1</v>
      </c>
      <c r="G1" s="20"/>
      <c r="H1" s="20"/>
      <c r="I1" s="21"/>
      <c r="J1" s="19" t="s">
        <v>2</v>
      </c>
      <c r="K1" s="20"/>
      <c r="L1" s="20"/>
      <c r="M1" s="21"/>
    </row>
    <row r="2" spans="1:15">
      <c r="A2" s="2" t="s">
        <v>4</v>
      </c>
      <c r="B2" s="3" t="s">
        <v>5</v>
      </c>
      <c r="C2" s="2" t="s">
        <v>6</v>
      </c>
      <c r="D2" s="2" t="s">
        <v>7</v>
      </c>
      <c r="E2" s="4" t="s">
        <v>8</v>
      </c>
      <c r="F2" s="3" t="s">
        <v>5</v>
      </c>
      <c r="G2" s="2" t="s">
        <v>6</v>
      </c>
      <c r="H2" s="2" t="s">
        <v>7</v>
      </c>
      <c r="I2" s="4" t="s">
        <v>8</v>
      </c>
      <c r="J2" s="3" t="s">
        <v>5</v>
      </c>
      <c r="K2" s="2" t="s">
        <v>6</v>
      </c>
      <c r="L2" s="2" t="s">
        <v>7</v>
      </c>
      <c r="M2" s="4" t="s">
        <v>8</v>
      </c>
    </row>
    <row r="3" spans="1:15">
      <c r="A3" s="1" t="s">
        <v>10</v>
      </c>
      <c r="B3" s="9">
        <v>36.799999999999997</v>
      </c>
      <c r="C3">
        <v>21.1</v>
      </c>
      <c r="D3" s="10">
        <v>48.9</v>
      </c>
      <c r="E3">
        <v>35.299999999999997</v>
      </c>
      <c r="F3" s="11">
        <v>28.524685050671199</v>
      </c>
      <c r="G3" s="7">
        <v>11.094144203729201</v>
      </c>
      <c r="H3" s="12">
        <v>106.164837210747</v>
      </c>
      <c r="I3" s="8">
        <v>57.8337036664105</v>
      </c>
      <c r="J3" s="11">
        <v>92.855861490448902</v>
      </c>
      <c r="K3" s="7">
        <v>27.7178179826359</v>
      </c>
      <c r="L3" s="12">
        <v>90.304031170498703</v>
      </c>
      <c r="M3" s="8">
        <v>22.1301589962405</v>
      </c>
    </row>
    <row r="4" spans="1:15">
      <c r="A4" s="1" t="s">
        <v>11</v>
      </c>
      <c r="B4" s="15">
        <v>24.6</v>
      </c>
      <c r="C4" s="13">
        <v>13.7</v>
      </c>
      <c r="D4" s="16">
        <v>20.6</v>
      </c>
      <c r="E4" s="14">
        <v>8</v>
      </c>
      <c r="F4" s="12">
        <v>27.684905587960369</v>
      </c>
      <c r="G4" s="7">
        <v>7.2001789994293102</v>
      </c>
      <c r="H4" s="12">
        <v>33.370788554128211</v>
      </c>
      <c r="I4" s="7">
        <v>10.71628631978597</v>
      </c>
      <c r="J4" s="11">
        <v>82.983290504142701</v>
      </c>
      <c r="K4" s="7">
        <v>18.0384560828624</v>
      </c>
      <c r="L4" s="12">
        <v>79.442658208123206</v>
      </c>
      <c r="M4" s="8">
        <v>26.365721073183501</v>
      </c>
    </row>
    <row r="5" spans="1:15">
      <c r="A5" s="1" t="s">
        <v>12</v>
      </c>
      <c r="B5" s="9">
        <v>43.2</v>
      </c>
      <c r="C5">
        <v>15.5</v>
      </c>
      <c r="D5" s="1">
        <v>29.2</v>
      </c>
      <c r="E5" s="22">
        <v>15.1</v>
      </c>
      <c r="F5" s="12">
        <v>35.000470297181799</v>
      </c>
      <c r="G5" s="7">
        <v>8.3276236188778157</v>
      </c>
      <c r="H5" s="12">
        <v>42.792509157699762</v>
      </c>
      <c r="I5" s="7">
        <v>6.9115531424629184</v>
      </c>
      <c r="J5" s="11">
        <v>87.313074783723891</v>
      </c>
      <c r="K5" s="7">
        <v>19.71480845346537</v>
      </c>
      <c r="L5" s="12">
        <v>100.18032066819811</v>
      </c>
      <c r="M5" s="8">
        <v>34.288168530136801</v>
      </c>
    </row>
    <row r="6" spans="1:15">
      <c r="A6" s="17" t="s">
        <v>3</v>
      </c>
      <c r="B6" s="24">
        <f>AVERAGE(B3:B5)</f>
        <v>34.866666666666667</v>
      </c>
      <c r="C6" s="18">
        <f>SQRT((C3^2+C4^2+C5^2)/3)</f>
        <v>17.060187572239645</v>
      </c>
      <c r="D6" s="17">
        <f>AVERAGE(D3:D5)</f>
        <v>32.9</v>
      </c>
      <c r="E6" s="18">
        <f>SQRT((E3^2+E4^2+E5^2)/3)</f>
        <v>22.642879675518305</v>
      </c>
      <c r="F6" s="24">
        <f>AVERAGE(F3:F5)</f>
        <v>30.403353645271125</v>
      </c>
      <c r="G6" s="18">
        <f>SQRT((G3^2+G4^2+G5^2)/3)</f>
        <v>9.0235234872462229</v>
      </c>
      <c r="H6" s="25">
        <f>AVERAGE(H3:H5)</f>
        <v>60.776044974191649</v>
      </c>
      <c r="I6" s="18">
        <f>SQRT((I3^2+I4^2+I5^2)/3)</f>
        <v>34.192326815154033</v>
      </c>
      <c r="J6" s="24">
        <f>AVERAGE(J3:J5)</f>
        <v>87.717408926105165</v>
      </c>
      <c r="K6" s="18">
        <f>SQRT((K3^2+K4^2+K5^2)/3)</f>
        <v>22.228637714509325</v>
      </c>
      <c r="L6" s="25">
        <f>AVERAGE(L3:L5)</f>
        <v>89.975670015606667</v>
      </c>
      <c r="M6" s="23">
        <f>SQRT((M3^2+M4^2+M5^2)/3)</f>
        <v>28.050987422066864</v>
      </c>
    </row>
    <row r="7" spans="1:15">
      <c r="B7" s="7"/>
      <c r="D7" s="7"/>
      <c r="F7" s="7"/>
      <c r="H7" s="7"/>
      <c r="J7" s="7"/>
      <c r="L7" s="7"/>
    </row>
    <row r="9" spans="1:15">
      <c r="A9" s="5" t="s">
        <v>13</v>
      </c>
      <c r="H9" t="s">
        <v>15</v>
      </c>
    </row>
    <row r="10" spans="1:15">
      <c r="A10" s="5" t="s">
        <v>14</v>
      </c>
    </row>
    <row r="12" spans="1:15">
      <c r="G12" s="7"/>
      <c r="I12" s="7"/>
      <c r="J12" s="6"/>
      <c r="K12" s="6"/>
      <c r="L12" s="6"/>
      <c r="M12" s="6"/>
      <c r="N12" s="6"/>
      <c r="O12" s="6"/>
    </row>
    <row r="13" spans="1:15">
      <c r="F13" s="6"/>
      <c r="G13" s="6"/>
      <c r="H13" s="6"/>
      <c r="I13" s="6"/>
      <c r="K13" s="6"/>
      <c r="L13" s="6"/>
      <c r="M13" s="6"/>
      <c r="N13" s="6"/>
      <c r="O13" s="6"/>
    </row>
    <row r="15" spans="1:15">
      <c r="J15" s="6"/>
      <c r="K15" s="6"/>
      <c r="L15" s="6"/>
      <c r="M15" s="6"/>
      <c r="N15" s="6"/>
      <c r="O15" s="6"/>
    </row>
  </sheetData>
  <mergeCells count="3">
    <mergeCell ref="J1:M1"/>
    <mergeCell ref="B1:E1"/>
    <mergeCell ref="F1:I1"/>
  </mergeCells>
  <pageMargins left="0.7" right="0.7" top="0.75" bottom="0.75" header="0.3" footer="0.3"/>
  <ignoredErrors>
    <ignoredError sqref="C6:D6 L6 J6 H6 F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stiffness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Skyler St. Pierre</dc:creator>
  <cp:lastModifiedBy>Skyler St. Pierre</cp:lastModifiedBy>
  <dcterms:created xsi:type="dcterms:W3CDTF">2026-01-05T23:17:24Z</dcterms:created>
  <dcterms:modified xsi:type="dcterms:W3CDTF">2026-04-15T18:31:50Z</dcterms:modified>
</cp:coreProperties>
</file>